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_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<sst xmlns="http://schemas.openxmlformats.org/spreadsheetml/2006/main" count="38" uniqueCount="31">
  <si>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Sr No</t>
  </si>
  <si>
    <t xml:space="preserve">Invoice Number</t>
  </si>
  <si>
    <t xml:space="preserve">Status</t>
  </si>
  <si>
    <t xml:space="preserve">Invoice Date</t>
  </si>
  <si>
    <t xml:space="preserve">Resource Name</t>
  </si>
  <si>
    <t xml:space="preserve">Client Code</t>
  </si>
  <si>
    <t xml:space="preserve">Employee Code</t>
  </si>
  <si>
    <t xml:space="preserve">Total Days</t>
  </si>
  <si>
    <t xml:space="preserve">Holiday</t>
  </si>
  <si>
    <t xml:space="preserve">Working Days</t>
  </si>
  <si>
    <t xml:space="preserve">Per Month Rate</t>
  </si>
  <si>
    <t xml:space="preserve">Per Day Rate</t>
  </si>
  <si>
    <t xml:space="preserve">Total</t>
  </si>
  <si>
    <t xml:space="preserve"> CGST</t>
  </si>
  <si>
    <t xml:space="preserve">SGST</t>
  </si>
  <si>
    <t xml:space="preserve">Grand Total</t>
  </si>
  <si>
    <t xml:space="preserve">081/25-26</t>
  </si>
  <si>
    <t xml:space="preserve">PENDING</t>
  </si>
  <si>
    <t xml:space="preserve">24-Dec-2025</t>
  </si>
  <si>
    <t xml:space="preserve">Amit Zankar</t>
  </si>
  <si>
    <t xml:space="preserve">001</t>
  </si>
  <si>
    <t xml:space="preserve">emp001</t>
  </si>
  <si>
    <t xml:space="preserve">Viraj Hole</t>
  </si>
  <si>
    <t xml:space="preserve">002</t>
  </si>
  <si>
    <t xml:space="preserve">emp002</t>
  </si>
  <si>
    <t xml:space="preserve">082/25-26</t>
  </si>
  <si>
    <t xml:space="preserve">Mahima</t>
  </si>
  <si>
    <t xml:space="preserve">003</t>
  </si>
  <si>
    <t xml:space="preserve">emp003</t>
  </si>
  <si>
    <t>INPROGRESS</t>
  </si>
  <si>
    <t>COMPLETED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</si>
</sst>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/yy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2" activeCellId="0" sqref="C2:C4"/>
    </sheetView>
  </sheetViews>
  <sheetFormatPr defaultColWidth="9.00390625" defaultRowHeight="14.25" customHeight="false" zeroHeight="false" outlineLevelRow="0" outlineLevelCol="0"/>
  <cols>
    <col min="1" max="1" customWidth="false" hidden="false" style="1" width="9.0" collapsed="false" outlineLevel="0"/>
    <col min="2" max="3" customWidth="true" hidden="false" style="1" width="15.36" collapsed="false" outlineLevel="0"/>
    <col min="4" max="4" customWidth="true" hidden="false" style="1" width="12.18" collapsed="false" outlineLevel="0"/>
    <col min="5" max="5" customWidth="true" hidden="false" style="1" width="15.18" collapsed="false" outlineLevel="0"/>
    <col min="6" max="6" customWidth="true" hidden="false" style="1" width="11.18" collapsed="false" outlineLevel="0"/>
    <col min="7" max="7" customWidth="true" hidden="false" style="1" width="15.09" collapsed="false" outlineLevel="0"/>
    <col min="8" max="8" customWidth="true" hidden="false" style="1" width="10.27" collapsed="false" outlineLevel="0"/>
    <col min="9" max="9" customWidth="true" hidden="false" style="1" width="7.82" collapsed="false" outlineLevel="0"/>
    <col min="10" max="10" customWidth="true" hidden="false" style="1" width="13.45" collapsed="false" outlineLevel="0"/>
    <col min="11" max="11" customWidth="true" hidden="false" style="1" width="15.18" collapsed="false" outlineLevel="0"/>
    <col min="12" max="16" customWidth="true" hidden="false" style="1" width="12.82" collapsed="false" outlineLevel="0"/>
    <col min="17" max="16383" customWidth="false" hidden="false" style="1" width="9.0" collapsed="false" outlineLevel="0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4.25" hidden="false" customHeight="false" outlineLevel="0" collapsed="false">
      <c r="A2" s="1" t="n">
        <v>1</v>
      </c>
      <c r="B2" s="1" t="s">
        <v>16</v>
      </c>
      <c r="C2" s="1" t="s">
        <v>30</v>
      </c>
      <c r="D2" s="1" t="s">
        <v>18</v>
      </c>
      <c r="E2" s="1" t="s">
        <v>19</v>
      </c>
      <c r="F2" s="1" t="s">
        <v>20</v>
      </c>
      <c r="G2" s="1" t="s">
        <v>21</v>
      </c>
      <c r="H2" s="1" t="n">
        <v>21</v>
      </c>
      <c r="I2" s="1" t="n">
        <v>1</v>
      </c>
      <c r="J2" s="1" t="n">
        <f aca="false">21-2</f>
        <v>19</v>
      </c>
      <c r="K2" s="1" t="n">
        <v>100000</v>
      </c>
      <c r="L2" s="1" t="n">
        <f aca="false">K2/H2</f>
        <v>4761.90476190476</v>
      </c>
      <c r="M2" s="1" t="n">
        <f aca="false">L2*J2</f>
        <v>90476.1904761905</v>
      </c>
      <c r="N2" s="1" t="n">
        <f aca="false">M2*9%</f>
        <v>8142.85714285714</v>
      </c>
      <c r="O2" s="1" t="n">
        <f aca="false">M2*9%</f>
        <v>8142.85714285714</v>
      </c>
      <c r="P2" s="1" t="n">
        <f aca="false">M2+N2+O2</f>
        <v>106761.904761905</v>
      </c>
    </row>
    <row r="3" customFormat="false" ht="14.25" hidden="false" customHeight="false" outlineLevel="0" collapsed="false">
      <c r="A3" s="1" t="n">
        <v>2</v>
      </c>
      <c r="B3" s="1" t="s">
        <v>16</v>
      </c>
      <c r="C3" s="1" t="s">
        <v>30</v>
      </c>
      <c r="D3" s="3" t="n">
        <v>46381</v>
      </c>
      <c r="E3" s="1" t="s">
        <v>22</v>
      </c>
      <c r="F3" s="1" t="s">
        <v>23</v>
      </c>
      <c r="G3" s="1" t="s">
        <v>24</v>
      </c>
      <c r="H3" s="1" t="n">
        <v>21</v>
      </c>
      <c r="I3" s="1" t="n">
        <v>1</v>
      </c>
      <c r="J3" s="1" t="n">
        <f aca="false">21-3</f>
        <v>18</v>
      </c>
      <c r="K3" s="1" t="n">
        <v>100000</v>
      </c>
      <c r="L3" s="1" t="n">
        <f aca="false">K3/H3</f>
        <v>4761.90476190476</v>
      </c>
      <c r="M3" s="1" t="n">
        <f aca="false">L3*J3</f>
        <v>85714.2857142857</v>
      </c>
      <c r="N3" s="1" t="n">
        <f aca="false">M3*9%</f>
        <v>7714.28571428571</v>
      </c>
      <c r="O3" s="1" t="n">
        <f aca="false">M3*9%</f>
        <v>7714.28571428571</v>
      </c>
      <c r="P3" s="1" t="n">
        <f aca="false">M3+N3+O3</f>
        <v>101142.857142857</v>
      </c>
    </row>
    <row r="4" customFormat="false" ht="14.25" hidden="false" customHeight="false" outlineLevel="0" collapsed="false">
      <c r="A4" s="1" t="n">
        <v>3</v>
      </c>
      <c r="B4" s="1" t="s">
        <v>25</v>
      </c>
      <c r="C4" s="1" t="s">
        <v>30</v>
      </c>
      <c r="D4" s="3" t="n">
        <v>46743</v>
      </c>
      <c r="E4" s="1" t="s">
        <v>26</v>
      </c>
      <c r="F4" s="1" t="s">
        <v>27</v>
      </c>
      <c r="G4" s="1" t="s">
        <v>28</v>
      </c>
      <c r="H4" s="1" t="n">
        <v>22</v>
      </c>
      <c r="I4" s="1" t="n">
        <v>0</v>
      </c>
      <c r="J4" s="1" t="n">
        <f aca="false">22-0</f>
        <v>22</v>
      </c>
      <c r="K4" s="1" t="n">
        <v>100000</v>
      </c>
      <c r="L4" s="1" t="n">
        <f aca="false">K4/H4</f>
        <v>4545.45454545455</v>
      </c>
      <c r="M4" s="1" t="n">
        <f aca="false">L4*J4</f>
        <v>100000</v>
      </c>
      <c r="N4" s="1" t="n">
        <f aca="false">M4*9%</f>
        <v>9000</v>
      </c>
      <c r="O4" s="1" t="n">
        <f aca="false">M4*9%</f>
        <v>9000</v>
      </c>
      <c r="P4" s="1" t="n">
        <f aca="false">M4+N4+O4</f>
        <v>118000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2026-01-12T07:17:00Z</dcterms:created>
  <dc:creator>openpyxl</dc:creator>
  <dc:language>en-IN</dc:language>
  <dcterms:modified xsi:type="dcterms:W3CDTF">2026-01-22T10:42:01Z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056CCBFA87304B3687871473B882DE39_13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1</vt:bool>
  </property>
</Properties>
</file>