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Invoices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<sst xmlns="http://schemas.openxmlformats.org/spreadsheetml/2006/main" count="32" uniqueCount="29">
  <si>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Sr No</t>
  </si>
  <si>
    <t>Invoice Number</t>
  </si>
  <si>
    <t>Status</t>
  </si>
  <si>
    <t>Invoice Date</t>
  </si>
  <si>
    <t>Resource Name</t>
  </si>
  <si>
    <t>Client Code</t>
  </si>
  <si>
    <t>Employee Code</t>
  </si>
  <si>
    <t>Total Days</t>
  </si>
  <si>
    <t>Holiday</t>
  </si>
  <si>
    <t>Working Days</t>
  </si>
  <si>
    <t>Per Month Rate</t>
  </si>
  <si>
    <t>Per Day Rate</t>
  </si>
  <si>
    <t>Total</t>
  </si>
  <si>
    <t xml:space="preserve"> CGST</t>
  </si>
  <si>
    <t>SGST</t>
  </si>
  <si>
    <t>Grand Total</t>
  </si>
  <si>
    <t>081/25-26</t>
  </si>
  <si>
    <t>PENDING</t>
  </si>
  <si>
    <t>24-Dec-2025</t>
  </si>
  <si>
    <t>Amit Zankar</t>
  </si>
  <si>
    <t>001</t>
  </si>
  <si>
    <t>emp001</t>
  </si>
  <si>
    <t>Viraj Hole</t>
  </si>
  <si>
    <t>002</t>
  </si>
  <si>
    <t>emp002</t>
  </si>
  <si>
    <t>082/25-26</t>
  </si>
  <si>
    <t>Mahima</t>
  </si>
  <si>
    <t>003</t>
  </si>
  <si>
    <t>emp003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</si>
</sst>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80" fontId="0" fillId="0" borderId="0" xfId="0" applyNumberFormat="1" applyAlignment="1">
      <alignment horizontal="left" vertical="top"/>
    </xf>
    <xf numFmtId="0" fontId="0" fillId="0" borderId="0" xfId="0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85" zoomScaleNormal="85" workbookViewId="0">
      <selection activeCell="A5" sqref="A5"/>
    </sheetView>
  </sheetViews>
  <sheetFormatPr defaultColWidth="9" defaultRowHeight="14.5" outlineLevelRow="3"/>
  <cols>
    <col min="1" max="1" width="9" style="1"/>
    <col min="2" max="3" width="15.3636363636364" style="1" customWidth="1"/>
    <col min="4" max="4" width="12.1818181818182" style="1" customWidth="1"/>
    <col min="5" max="5" width="15.1818181818182" style="1" customWidth="1"/>
    <col min="6" max="6" width="11.1818181818182" style="1" customWidth="1"/>
    <col min="7" max="7" width="15.0909090909091" style="1" customWidth="1"/>
    <col min="8" max="8" width="10.2727272727273" style="1" customWidth="1"/>
    <col min="9" max="9" width="7.81818181818182" style="1" customWidth="1"/>
    <col min="10" max="10" width="13.4545454545455" style="1" customWidth="1"/>
    <col min="11" max="11" width="15.1818181818182" style="1" customWidth="1"/>
    <col min="12" max="16" width="12.8181818181818" style="1"/>
    <col min="17" max="16383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4" t="s">
        <v>20</v>
      </c>
      <c r="G2" s="1" t="s">
        <v>21</v>
      </c>
      <c r="H2" s="1">
        <v>21</v>
      </c>
      <c r="I2" s="1">
        <v>1</v>
      </c>
      <c r="J2" s="1">
        <f>21-2</f>
        <v>19</v>
      </c>
      <c r="K2" s="1">
        <v>100000</v>
      </c>
      <c r="L2" s="1">
        <f>K2/H2</f>
        <v>4761.90476190476</v>
      </c>
      <c r="M2" s="1">
        <f>L2*J2</f>
        <v>90476.1904761905</v>
      </c>
      <c r="N2" s="1">
        <f>M2*9%</f>
        <v>8142.85714285714</v>
      </c>
      <c r="O2" s="1">
        <f>M2*9%</f>
        <v>8142.85714285714</v>
      </c>
      <c r="P2" s="1">
        <f>M2+N2+O2</f>
        <v>106761.904761905</v>
      </c>
    </row>
    <row r="3" spans="1:16">
      <c r="A3" s="1">
        <v>2</v>
      </c>
      <c r="B3" s="1" t="s">
        <v>16</v>
      </c>
      <c r="C3" s="1" t="s">
        <v>17</v>
      </c>
      <c r="D3" s="3">
        <v>46381</v>
      </c>
      <c r="E3" s="1" t="s">
        <v>22</v>
      </c>
      <c r="F3" s="4" t="s">
        <v>23</v>
      </c>
      <c r="G3" s="1" t="s">
        <v>24</v>
      </c>
      <c r="H3" s="1">
        <v>21</v>
      </c>
      <c r="I3" s="1">
        <v>1</v>
      </c>
      <c r="J3" s="1">
        <f>21-3</f>
        <v>18</v>
      </c>
      <c r="K3" s="1">
        <v>100000</v>
      </c>
      <c r="L3" s="1">
        <f>K3/H3</f>
        <v>4761.90476190476</v>
      </c>
      <c r="M3" s="1">
        <f>L3*J3</f>
        <v>85714.2857142857</v>
      </c>
      <c r="N3" s="1">
        <f>M3*9%</f>
        <v>7714.28571428571</v>
      </c>
      <c r="O3" s="1">
        <f>M3*9%</f>
        <v>7714.28571428571</v>
      </c>
      <c r="P3" s="1">
        <f>M3+N3+O3</f>
        <v>101142.857142857</v>
      </c>
    </row>
    <row r="4" spans="1:16">
      <c r="A4" s="1">
        <v>3</v>
      </c>
      <c r="B4" s="1" t="s">
        <v>25</v>
      </c>
      <c r="C4" s="1" t="s">
        <v>17</v>
      </c>
      <c r="D4" s="3">
        <v>46743</v>
      </c>
      <c r="E4" s="1" t="s">
        <v>26</v>
      </c>
      <c r="F4" s="4" t="s">
        <v>27</v>
      </c>
      <c r="G4" s="1" t="s">
        <v>28</v>
      </c>
      <c r="H4" s="1">
        <v>22</v>
      </c>
      <c r="I4" s="1">
        <v>0</v>
      </c>
      <c r="J4" s="1">
        <f>22-0</f>
        <v>22</v>
      </c>
      <c r="K4" s="1">
        <v>100000</v>
      </c>
      <c r="L4" s="1">
        <f>K4/H4</f>
        <v>4545.45454545455</v>
      </c>
      <c r="M4" s="1">
        <f>L4*J4</f>
        <v>100000</v>
      </c>
      <c r="N4" s="1">
        <f>M4*9%</f>
        <v>9000</v>
      </c>
      <c r="O4" s="1">
        <f>M4*9%</f>
        <v>9000</v>
      </c>
      <c r="P4" s="1">
        <f>M4+N4+O4</f>
        <v>118000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Invoices_Items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amitz</cp:lastModifiedBy>
  <dcterms:created xsi:type="dcterms:W3CDTF">2026-01-12T07:17:00Z</dcterms:created>
  <dcterms:modified xsi:type="dcterms:W3CDTF">2026-01-21T06:07:49Z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056CCBFA87304B3687871473B882DE39_13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