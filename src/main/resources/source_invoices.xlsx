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Invoices_Item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<sst xmlns="http://schemas.openxmlformats.org/spreadsheetml/2006/main" count="29" uniqueCount="28">
  <si>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Sr No</t>
  </si>
  <si>
    <t>Invoice Number</t>
  </si>
  <si>
    <t>Status</t>
  </si>
  <si>
    <t>Invoice Date</t>
  </si>
  <si>
    <t>Resource Name</t>
  </si>
  <si>
    <t>Client Code</t>
  </si>
  <si>
    <t>Employee Code</t>
  </si>
  <si>
    <t>Total Days</t>
  </si>
  <si>
    <t>Holiday</t>
  </si>
  <si>
    <t>Leaves</t>
  </si>
  <si>
    <t>Working Days</t>
  </si>
  <si>
    <t>Per Month Rate</t>
  </si>
  <si>
    <t>Per Day Rate</t>
  </si>
  <si>
    <t>Total</t>
  </si>
  <si>
    <t xml:space="preserve"> CGST</t>
  </si>
  <si>
    <t>SGST</t>
  </si>
  <si>
    <t>Grand Total</t>
  </si>
  <si>
    <t>081/25-26</t>
  </si>
  <si>
    <t>PENDING</t>
  </si>
  <si>
    <t>24-Dec-2025</t>
  </si>
  <si>
    <t>Amit Zankar</t>
  </si>
  <si>
    <t>001</t>
  </si>
  <si>
    <t>emp001</t>
  </si>
  <si>
    <t>082/25-26</t>
  </si>
  <si>
    <t>28-Dec-2025</t>
  </si>
  <si>
    <t>Viraj Hole</t>
  </si>
  <si>
    <t>002</t>
  </si>
  <si>
    <t>emp002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</si>
</sst>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 quotePrefix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"/>
  <sheetViews>
    <sheetView tabSelected="1" topLeftCell="E1" workbookViewId="0">
      <selection activeCell="E4" sqref="E4"/>
    </sheetView>
  </sheetViews>
  <sheetFormatPr defaultColWidth="9" defaultRowHeight="14.5" outlineLevelRow="2"/>
  <cols>
    <col min="1" max="1" width="9" style="1"/>
    <col min="2" max="3" width="15.3636363636364" style="1" customWidth="1"/>
    <col min="4" max="4" width="12.1818181818182" style="1" customWidth="1"/>
    <col min="5" max="5" width="15.1818181818182" style="1" customWidth="1"/>
    <col min="6" max="6" width="9" style="1"/>
    <col min="7" max="7" width="15.0909090909091" style="1" customWidth="1"/>
    <col min="8" max="8" width="10.2727272727273" style="1" customWidth="1"/>
    <col min="9" max="9" width="7.81818181818182" style="1" customWidth="1"/>
    <col min="10" max="10" width="9" style="1"/>
    <col min="11" max="11" width="13.4545454545455" style="1" customWidth="1"/>
    <col min="12" max="12" width="15.1818181818182" style="1" customWidth="1"/>
    <col min="13" max="17" width="12.8181818181818" style="1"/>
    <col min="18" max="16384" width="9" style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1">
        <v>1</v>
      </c>
      <c r="B2" s="1" t="s">
        <v>17</v>
      </c>
      <c r="C2" s="1" t="s">
        <v>18</v>
      </c>
      <c r="D2" s="1" t="s">
        <v>19</v>
      </c>
      <c r="E2" s="1" t="s">
        <v>20</v>
      </c>
      <c r="F2" s="2" t="s">
        <v>21</v>
      </c>
      <c r="G2" s="1" t="s">
        <v>22</v>
      </c>
      <c r="H2" s="1">
        <v>21</v>
      </c>
      <c r="I2" s="1">
        <v>1</v>
      </c>
      <c r="J2" s="1">
        <v>2</v>
      </c>
      <c r="K2" s="1">
        <f>21-2</f>
        <v>19</v>
      </c>
      <c r="L2" s="1">
        <v>100000</v>
      </c>
      <c r="M2" s="1">
        <f>L2/H2</f>
        <v>4761.90476190476</v>
      </c>
      <c r="N2" s="1">
        <f>M2*K2</f>
        <v>90476.1904761905</v>
      </c>
      <c r="O2" s="1">
        <f>N2*9%</f>
        <v>8142.85714285714</v>
      </c>
      <c r="P2" s="1">
        <f>N2*9%</f>
        <v>8142.85714285714</v>
      </c>
      <c r="Q2" s="1">
        <f>N2+O2+P2</f>
        <v>106761.904761905</v>
      </c>
    </row>
    <row r="3" spans="1:17">
      <c r="A3" s="1">
        <v>2</v>
      </c>
      <c r="B3" s="1" t="s">
        <v>23</v>
      </c>
      <c r="C3" s="1" t="s">
        <v>18</v>
      </c>
      <c r="D3" s="1" t="s">
        <v>24</v>
      </c>
      <c r="E3" s="1" t="s">
        <v>25</v>
      </c>
      <c r="F3" s="2" t="s">
        <v>26</v>
      </c>
      <c r="G3" s="1" t="s">
        <v>27</v>
      </c>
      <c r="H3" s="1">
        <v>21</v>
      </c>
      <c r="I3" s="1">
        <v>1</v>
      </c>
      <c r="J3" s="1">
        <v>3</v>
      </c>
      <c r="K3" s="1">
        <f>21-3</f>
        <v>18</v>
      </c>
      <c r="L3" s="1">
        <v>100000</v>
      </c>
      <c r="M3" s="1">
        <f>L3/H3</f>
        <v>4761.90476190476</v>
      </c>
      <c r="N3" s="1">
        <f>M3*K3</f>
        <v>85714.2857142857</v>
      </c>
      <c r="O3" s="1">
        <f>N3*9%</f>
        <v>7714.28571428571</v>
      </c>
      <c r="P3" s="1">
        <f>N3*9%</f>
        <v>7714.28571428571</v>
      </c>
      <c r="Q3" s="1">
        <f>N3+O3+P3</f>
        <v>101142.857142857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Invoices_Items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amitz</cp:lastModifiedBy>
  <dcterms:created xsi:type="dcterms:W3CDTF">2026-01-12T07:17:00Z</dcterms:created>
  <dcterms:modified xsi:type="dcterms:W3CDTF">2026-01-14T05:58:17Z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83F22BF6799F4EECB3BC0C2F942C28F4_12</vt:lpwstr>
  </property>
  <property fmtid="{D5CDD505-2E9C-101B-9397-08002B2CF9AE}" pid="3" name="KSOProductBuildVer">
    <vt:lpwstr>1033-12.2.0.23196</vt:lpwstr>
  </property>
</Properties>
</file>